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가격 비교 분석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<sst xmlns="http://schemas.openxmlformats.org/spreadsheetml/2006/main" count="31" uniqueCount="31">
  <si>
    <r>
      <rPr>
        <b val="true"/>
        <sz val="14"/>
        <color rgb="FF2D2B3D"/>
        <rFont val="Arial"/>
        <family val="0"/>
        <charset val="1"/>
      </rPr>
      <t xml:space="preserve">AI</t>
    </r>
    <r>
      <rPr>
        <b val="true"/>
        <sz val="14"/>
        <color rgb="FF2D2B3D"/>
        <rFont val="DejaVu Sans"/>
        <family val="2"/>
      </rPr>
      <t xml:space="preserve">언니 유료 전환 </t>
    </r>
    <r>
      <rPr>
        <b val="true"/>
        <sz val="14"/>
        <color rgb="FF2D2B3D"/>
        <rFont val="Arial"/>
        <family val="0"/>
        <charset val="1"/>
      </rPr>
      <t xml:space="preserve">· </t>
    </r>
    <r>
      <rPr>
        <b val="true"/>
        <sz val="14"/>
        <color rgb="FF2D2B3D"/>
        <rFont val="DejaVu Sans"/>
        <family val="2"/>
      </rPr>
      <t xml:space="preserve">가격별 수익 시뮬레이션</t>
    </r>
  </si>
  <si>
    <t xml:space="preserve">항목</t>
  </si>
  <si>
    <t xml:space="preserve">₩2,900</t>
  </si>
  <si>
    <t xml:space="preserve">₩3,900</t>
  </si>
  <si>
    <t xml:space="preserve">비고</t>
  </si>
  <si>
    <t xml:space="preserve">▶ 기본 가정</t>
  </si>
  <si>
    <r>
      <rPr>
        <sz val="11"/>
        <color rgb="FF2D2B3D"/>
        <rFont val="DejaVu Sans"/>
        <family val="2"/>
      </rPr>
      <t xml:space="preserve">일 방문자 수 </t>
    </r>
    <r>
      <rPr>
        <sz val="11"/>
        <color rgb="FF2D2B3D"/>
        <rFont val="Arial"/>
        <family val="0"/>
        <charset val="1"/>
      </rPr>
      <t xml:space="preserve">(DAU)</t>
    </r>
  </si>
  <si>
    <r>
      <rPr>
        <sz val="10"/>
        <color rgb="FF8E8A9D"/>
        <rFont val="DejaVu Sans"/>
        <family val="2"/>
      </rPr>
      <t xml:space="preserve">가정</t>
    </r>
    <r>
      <rPr>
        <sz val="10"/>
        <color rgb="FF8E8A9D"/>
        <rFont val="Arial"/>
        <family val="0"/>
        <charset val="1"/>
      </rPr>
      <t xml:space="preserve">: </t>
    </r>
    <r>
      <rPr>
        <sz val="10"/>
        <color rgb="FF8E8A9D"/>
        <rFont val="DejaVu Sans"/>
        <family val="2"/>
      </rPr>
      <t xml:space="preserve">초기 마케팅 후</t>
    </r>
  </si>
  <si>
    <t xml:space="preserve">무료 분석 사용률</t>
  </si>
  <si>
    <r>
      <rPr>
        <sz val="10"/>
        <color rgb="FF8E8A9D"/>
        <rFont val="DejaVu Sans"/>
        <family val="2"/>
      </rPr>
      <t xml:space="preserve">방문자 중 </t>
    </r>
    <r>
      <rPr>
        <sz val="10"/>
        <color rgb="FF8E8A9D"/>
        <rFont val="Arial"/>
        <family val="0"/>
        <charset val="1"/>
      </rPr>
      <t xml:space="preserve">40%</t>
    </r>
    <r>
      <rPr>
        <sz val="10"/>
        <color rgb="FF8E8A9D"/>
        <rFont val="DejaVu Sans"/>
        <family val="2"/>
      </rPr>
      <t xml:space="preserve">가 무료 분석</t>
    </r>
  </si>
  <si>
    <r>
      <rPr>
        <sz val="11"/>
        <color rgb="FF2D2B3D"/>
        <rFont val="DejaVu Sans"/>
        <family val="2"/>
      </rPr>
      <t xml:space="preserve">유료 전환율 </t>
    </r>
    <r>
      <rPr>
        <sz val="11"/>
        <color rgb="FF2D2B3D"/>
        <rFont val="Arial"/>
        <family val="0"/>
        <charset val="1"/>
      </rPr>
      <t xml:space="preserve">(</t>
    </r>
    <r>
      <rPr>
        <sz val="11"/>
        <color rgb="FF2D2B3D"/>
        <rFont val="DejaVu Sans"/>
        <family val="2"/>
      </rPr>
      <t xml:space="preserve">예상</t>
    </r>
    <r>
      <rPr>
        <sz val="11"/>
        <color rgb="FF2D2B3D"/>
        <rFont val="Arial"/>
        <family val="0"/>
        <charset val="1"/>
      </rPr>
      <t xml:space="preserve">)</t>
    </r>
  </si>
  <si>
    <r>
      <rPr>
        <sz val="10"/>
        <color rgb="FF8E8A9D"/>
        <rFont val="Arial"/>
        <family val="0"/>
        <charset val="1"/>
      </rPr>
      <t xml:space="preserve">2,900</t>
    </r>
    <r>
      <rPr>
        <sz val="10"/>
        <color rgb="FF8E8A9D"/>
        <rFont val="DejaVu Sans"/>
        <family val="2"/>
      </rPr>
      <t xml:space="preserve">원이 허들 낮음</t>
    </r>
  </si>
  <si>
    <r>
      <rPr>
        <sz val="11"/>
        <color rgb="FF2D2B3D"/>
        <rFont val="DejaVu Sans"/>
        <family val="2"/>
      </rPr>
      <t xml:space="preserve">단가 </t>
    </r>
    <r>
      <rPr>
        <sz val="11"/>
        <color rgb="FF2D2B3D"/>
        <rFont val="Arial"/>
        <family val="0"/>
        <charset val="1"/>
      </rPr>
      <t xml:space="preserve">(</t>
    </r>
    <r>
      <rPr>
        <sz val="11"/>
        <color rgb="FF2D2B3D"/>
        <rFont val="DejaVu Sans"/>
        <family val="2"/>
      </rPr>
      <t xml:space="preserve">원</t>
    </r>
    <r>
      <rPr>
        <sz val="11"/>
        <color rgb="FF2D2B3D"/>
        <rFont val="Arial"/>
        <family val="0"/>
        <charset val="1"/>
      </rPr>
      <t xml:space="preserve">)</t>
    </r>
  </si>
  <si>
    <t xml:space="preserve">▶ 일간 수익 산출</t>
  </si>
  <si>
    <t xml:space="preserve">무료 분석 이용자 수</t>
  </si>
  <si>
    <r>
      <rPr>
        <sz val="10"/>
        <color rgb="FF8E8A9D"/>
        <rFont val="Arial"/>
        <family val="0"/>
        <charset val="1"/>
      </rPr>
      <t xml:space="preserve">DAU × </t>
    </r>
    <r>
      <rPr>
        <sz val="10"/>
        <color rgb="FF8E8A9D"/>
        <rFont val="DejaVu Sans"/>
        <family val="2"/>
      </rPr>
      <t xml:space="preserve">무료 사용률</t>
    </r>
  </si>
  <si>
    <r>
      <rPr>
        <sz val="11"/>
        <color rgb="FF2D2B3D"/>
        <rFont val="DejaVu Sans"/>
        <family val="2"/>
      </rPr>
      <t xml:space="preserve">유료 전환 건수 </t>
    </r>
    <r>
      <rPr>
        <sz val="11"/>
        <color rgb="FF2D2B3D"/>
        <rFont val="Arial"/>
        <family val="0"/>
        <charset val="1"/>
      </rPr>
      <t xml:space="preserve">(</t>
    </r>
    <r>
      <rPr>
        <sz val="11"/>
        <color rgb="FF2D2B3D"/>
        <rFont val="DejaVu Sans"/>
        <family val="2"/>
      </rPr>
      <t xml:space="preserve">일</t>
    </r>
    <r>
      <rPr>
        <sz val="11"/>
        <color rgb="FF2D2B3D"/>
        <rFont val="Arial"/>
        <family val="0"/>
        <charset val="1"/>
      </rPr>
      <t xml:space="preserve">)</t>
    </r>
  </si>
  <si>
    <r>
      <rPr>
        <sz val="10"/>
        <color rgb="FF8E8A9D"/>
        <rFont val="DejaVu Sans"/>
        <family val="2"/>
      </rPr>
      <t xml:space="preserve">무료 이용자 </t>
    </r>
    <r>
      <rPr>
        <sz val="10"/>
        <color rgb="FF8E8A9D"/>
        <rFont val="Arial"/>
        <family val="0"/>
        <charset val="1"/>
      </rPr>
      <t xml:space="preserve">× </t>
    </r>
    <r>
      <rPr>
        <sz val="10"/>
        <color rgb="FF8E8A9D"/>
        <rFont val="DejaVu Sans"/>
        <family val="2"/>
      </rPr>
      <t xml:space="preserve">전환율</t>
    </r>
  </si>
  <si>
    <r>
      <rPr>
        <sz val="11"/>
        <color rgb="FF2D2B3D"/>
        <rFont val="DejaVu Sans"/>
        <family val="2"/>
      </rPr>
      <t xml:space="preserve">일 매출 </t>
    </r>
    <r>
      <rPr>
        <sz val="11"/>
        <color rgb="FF2D2B3D"/>
        <rFont val="Arial"/>
        <family val="0"/>
        <charset val="1"/>
      </rPr>
      <t xml:space="preserve">(</t>
    </r>
    <r>
      <rPr>
        <sz val="11"/>
        <color rgb="FF2D2B3D"/>
        <rFont val="DejaVu Sans"/>
        <family val="2"/>
      </rPr>
      <t xml:space="preserve">원</t>
    </r>
    <r>
      <rPr>
        <sz val="11"/>
        <color rgb="FF2D2B3D"/>
        <rFont val="Arial"/>
        <family val="0"/>
        <charset val="1"/>
      </rPr>
      <t xml:space="preserve">)</t>
    </r>
  </si>
  <si>
    <r>
      <rPr>
        <sz val="10"/>
        <color rgb="FF8E8A9D"/>
        <rFont val="DejaVu Sans"/>
        <family val="2"/>
      </rPr>
      <t xml:space="preserve">전환 건수 </t>
    </r>
    <r>
      <rPr>
        <sz val="10"/>
        <color rgb="FF8E8A9D"/>
        <rFont val="Arial"/>
        <family val="0"/>
        <charset val="1"/>
      </rPr>
      <t xml:space="preserve">× </t>
    </r>
    <r>
      <rPr>
        <sz val="10"/>
        <color rgb="FF8E8A9D"/>
        <rFont val="DejaVu Sans"/>
        <family val="2"/>
      </rPr>
      <t xml:space="preserve">단가</t>
    </r>
  </si>
  <si>
    <r>
      <rPr>
        <b val="true"/>
        <sz val="11"/>
        <color rgb="FFFF6B8A"/>
        <rFont val="DejaVu Sans"/>
        <family val="2"/>
      </rPr>
      <t xml:space="preserve">▶ 월간 </t>
    </r>
    <r>
      <rPr>
        <b val="true"/>
        <sz val="11"/>
        <color rgb="FFFF6B8A"/>
        <rFont val="Arial"/>
        <family val="0"/>
        <charset val="1"/>
      </rPr>
      <t xml:space="preserve">· </t>
    </r>
    <r>
      <rPr>
        <b val="true"/>
        <sz val="11"/>
        <color rgb="FFFF6B8A"/>
        <rFont val="DejaVu Sans"/>
        <family val="2"/>
      </rPr>
      <t xml:space="preserve">연간 수익 전망</t>
    </r>
  </si>
  <si>
    <r>
      <rPr>
        <sz val="11"/>
        <color rgb="FF2D2B3D"/>
        <rFont val="DejaVu Sans"/>
        <family val="2"/>
      </rPr>
      <t xml:space="preserve">월 매출 </t>
    </r>
    <r>
      <rPr>
        <sz val="11"/>
        <color rgb="FF2D2B3D"/>
        <rFont val="Arial"/>
        <family val="0"/>
        <charset val="1"/>
      </rPr>
      <t xml:space="preserve">(</t>
    </r>
    <r>
      <rPr>
        <sz val="11"/>
        <color rgb="FF2D2B3D"/>
        <rFont val="DejaVu Sans"/>
        <family val="2"/>
      </rPr>
      <t xml:space="preserve">원</t>
    </r>
    <r>
      <rPr>
        <sz val="11"/>
        <color rgb="FF2D2B3D"/>
        <rFont val="Arial"/>
        <family val="0"/>
        <charset val="1"/>
      </rPr>
      <t xml:space="preserve">)</t>
    </r>
  </si>
  <si>
    <r>
      <rPr>
        <sz val="10"/>
        <color rgb="FF8E8A9D"/>
        <rFont val="DejaVu Sans"/>
        <family val="2"/>
      </rPr>
      <t xml:space="preserve">일 매출 </t>
    </r>
    <r>
      <rPr>
        <sz val="10"/>
        <color rgb="FF8E8A9D"/>
        <rFont val="Arial"/>
        <family val="0"/>
        <charset val="1"/>
      </rPr>
      <t xml:space="preserve">× 30</t>
    </r>
    <r>
      <rPr>
        <sz val="10"/>
        <color rgb="FF8E8A9D"/>
        <rFont val="DejaVu Sans"/>
        <family val="2"/>
      </rPr>
      <t xml:space="preserve">일</t>
    </r>
  </si>
  <si>
    <r>
      <rPr>
        <sz val="11"/>
        <color rgb="FF2D2B3D"/>
        <rFont val="DejaVu Sans"/>
        <family val="2"/>
      </rPr>
      <t xml:space="preserve">월 매출 </t>
    </r>
    <r>
      <rPr>
        <sz val="11"/>
        <color rgb="FF2D2B3D"/>
        <rFont val="Arial"/>
        <family val="0"/>
        <charset val="1"/>
      </rPr>
      <t xml:space="preserve">(</t>
    </r>
    <r>
      <rPr>
        <sz val="11"/>
        <color rgb="FF2D2B3D"/>
        <rFont val="DejaVu Sans"/>
        <family val="2"/>
      </rPr>
      <t xml:space="preserve">만원</t>
    </r>
    <r>
      <rPr>
        <sz val="11"/>
        <color rgb="FF2D2B3D"/>
        <rFont val="Arial"/>
        <family val="0"/>
        <charset val="1"/>
      </rPr>
      <t xml:space="preserve">)</t>
    </r>
  </si>
  <si>
    <r>
      <rPr>
        <sz val="11"/>
        <color rgb="FF2D2B3D"/>
        <rFont val="DejaVu Sans"/>
        <family val="2"/>
      </rPr>
      <t xml:space="preserve">연 매출 </t>
    </r>
    <r>
      <rPr>
        <sz val="11"/>
        <color rgb="FF2D2B3D"/>
        <rFont val="Arial"/>
        <family val="0"/>
        <charset val="1"/>
      </rPr>
      <t xml:space="preserve">(</t>
    </r>
    <r>
      <rPr>
        <sz val="11"/>
        <color rgb="FF2D2B3D"/>
        <rFont val="DejaVu Sans"/>
        <family val="2"/>
      </rPr>
      <t xml:space="preserve">원</t>
    </r>
    <r>
      <rPr>
        <sz val="11"/>
        <color rgb="FF2D2B3D"/>
        <rFont val="Arial"/>
        <family val="0"/>
        <charset val="1"/>
      </rPr>
      <t xml:space="preserve">)</t>
    </r>
  </si>
  <si>
    <r>
      <rPr>
        <sz val="10"/>
        <color rgb="FF8E8A9D"/>
        <rFont val="DejaVu Sans"/>
        <family val="2"/>
      </rPr>
      <t xml:space="preserve">일 매출 </t>
    </r>
    <r>
      <rPr>
        <sz val="10"/>
        <color rgb="FF8E8A9D"/>
        <rFont val="Arial"/>
        <family val="0"/>
        <charset val="1"/>
      </rPr>
      <t xml:space="preserve">× 365</t>
    </r>
    <r>
      <rPr>
        <sz val="10"/>
        <color rgb="FF8E8A9D"/>
        <rFont val="DejaVu Sans"/>
        <family val="2"/>
      </rPr>
      <t xml:space="preserve">일</t>
    </r>
  </si>
  <si>
    <r>
      <rPr>
        <sz val="11"/>
        <color rgb="FF2D2B3D"/>
        <rFont val="DejaVu Sans"/>
        <family val="2"/>
      </rPr>
      <t xml:space="preserve">연 매출 </t>
    </r>
    <r>
      <rPr>
        <sz val="11"/>
        <color rgb="FF2D2B3D"/>
        <rFont val="Arial"/>
        <family val="0"/>
        <charset val="1"/>
      </rPr>
      <t xml:space="preserve">(</t>
    </r>
    <r>
      <rPr>
        <sz val="11"/>
        <color rgb="FF2D2B3D"/>
        <rFont val="DejaVu Sans"/>
        <family val="2"/>
      </rPr>
      <t xml:space="preserve">만원</t>
    </r>
    <r>
      <rPr>
        <sz val="11"/>
        <color rgb="FF2D2B3D"/>
        <rFont val="Arial"/>
        <family val="0"/>
        <charset val="1"/>
      </rPr>
      <t xml:space="preserve">)</t>
    </r>
  </si>
  <si>
    <r>
      <rPr>
        <sz val="11"/>
        <color rgb="FF2D2B3D"/>
        <rFont val="DejaVu Sans"/>
        <family val="2"/>
      </rPr>
      <t xml:space="preserve">연 매출 차이 </t>
    </r>
    <r>
      <rPr>
        <sz val="11"/>
        <color rgb="FF2D2B3D"/>
        <rFont val="Arial"/>
        <family val="0"/>
        <charset val="1"/>
      </rPr>
      <t xml:space="preserve">(</t>
    </r>
    <r>
      <rPr>
        <sz val="11"/>
        <color rgb="FF2D2B3D"/>
        <rFont val="DejaVu Sans"/>
        <family val="2"/>
      </rPr>
      <t xml:space="preserve">만원</t>
    </r>
    <r>
      <rPr>
        <sz val="11"/>
        <color rgb="FF2D2B3D"/>
        <rFont val="Arial"/>
        <family val="0"/>
        <charset val="1"/>
      </rPr>
      <t xml:space="preserve">)</t>
    </r>
  </si>
  <si>
    <t xml:space="preserve">₩3,900 - ₩2,900</t>
  </si>
  <si>
    <t xml:space="preserve">▶ 결론</t>
  </si>
  <si>
    <r>
      <rPr>
        <sz val="11"/>
        <color rgb="FF2D2B3D"/>
        <rFont val="Arial"/>
        <family val="0"/>
        <charset val="1"/>
      </rPr>
      <t xml:space="preserve">₩2,900</t>
    </r>
    <r>
      <rPr>
        <sz val="11"/>
        <color rgb="FF2D2B3D"/>
        <rFont val="DejaVu Sans"/>
        <family val="2"/>
      </rPr>
      <t xml:space="preserve">이 전환율</t>
    </r>
    <r>
      <rPr>
        <sz val="11"/>
        <color rgb="FF2D2B3D"/>
        <rFont val="Arial"/>
        <family val="0"/>
        <charset val="1"/>
      </rPr>
      <t xml:space="preserve">(8% vs 5%)</t>
    </r>
    <r>
      <rPr>
        <sz val="11"/>
        <color rgb="FF2D2B3D"/>
        <rFont val="DejaVu Sans"/>
        <family val="2"/>
      </rPr>
      <t xml:space="preserve">에서 유리하여 일 매출이 더 높음</t>
    </r>
    <r>
      <rPr>
        <sz val="11"/>
        <color rgb="FF2D2B3D"/>
        <rFont val="Arial"/>
        <family val="0"/>
        <charset val="1"/>
      </rPr>
      <t xml:space="preserve">.
2,900</t>
    </r>
    <r>
      <rPr>
        <sz val="11"/>
        <color rgb="FF2D2B3D"/>
        <rFont val="DejaVu Sans"/>
        <family val="2"/>
      </rPr>
      <t xml:space="preserve">원 추천</t>
    </r>
    <r>
      <rPr>
        <sz val="11"/>
        <color rgb="FF2D2B3D"/>
        <rFont val="Arial"/>
        <family val="0"/>
        <charset val="1"/>
      </rPr>
      <t xml:space="preserve">: </t>
    </r>
    <r>
      <rPr>
        <sz val="11"/>
        <color rgb="FF2D2B3D"/>
        <rFont val="DejaVu Sans"/>
        <family val="2"/>
      </rPr>
      <t xml:space="preserve">낮은 허들 → 높은 전환 → 재구매 유도 → </t>
    </r>
    <r>
      <rPr>
        <sz val="11"/>
        <color rgb="FF2D2B3D"/>
        <rFont val="Arial"/>
        <family val="0"/>
        <charset val="1"/>
      </rPr>
      <t xml:space="preserve">LTV </t>
    </r>
    <r>
      <rPr>
        <sz val="11"/>
        <color rgb="FF2D2B3D"/>
        <rFont val="DejaVu Sans"/>
        <family val="2"/>
      </rPr>
      <t xml:space="preserve">극대화</t>
    </r>
    <r>
      <rPr>
        <sz val="11"/>
        <color rgb="FF2D2B3D"/>
        <rFont val="Arial"/>
        <family val="0"/>
        <charset val="1"/>
      </rPr>
      <t xml:space="preserve">. </t>
    </r>
    <r>
      <rPr>
        <sz val="11"/>
        <color rgb="FF2D2B3D"/>
        <rFont val="DejaVu Sans"/>
        <family val="2"/>
      </rPr>
      <t xml:space="preserve">추후 데이터 기반으로 가격 조정 가능</t>
    </r>
    <r>
      <rPr>
        <sz val="11"/>
        <color rgb="FF2D2B3D"/>
        <rFont val="Arial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</si>
</sst>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%"/>
    <numFmt numFmtId="166" formatCode="#,##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D2B3D"/>
      <name val="Arial"/>
      <family val="0"/>
      <charset val="1"/>
    </font>
    <font>
      <b val="true"/>
      <sz val="14"/>
      <color rgb="FF2D2B3D"/>
      <name val="DejaVu Sans"/>
      <family val="2"/>
    </font>
    <font>
      <b val="true"/>
      <sz val="11"/>
      <color rgb="FFFFFFFF"/>
      <name val="DejaVu Sans"/>
      <family val="2"/>
    </font>
    <font>
      <b val="true"/>
      <sz val="11"/>
      <color rgb="FFFFFFFF"/>
      <name val="Arial"/>
      <family val="0"/>
      <charset val="1"/>
    </font>
    <font>
      <b val="true"/>
      <sz val="11"/>
      <color rgb="FFFF6B8A"/>
      <name val="DejaVu Sans"/>
      <family val="2"/>
    </font>
    <font>
      <sz val="11"/>
      <color rgb="FF2D2B3D"/>
      <name val="DejaVu Sans"/>
      <family val="2"/>
    </font>
    <font>
      <sz val="11"/>
      <color rgb="FF2D2B3D"/>
      <name val="Arial"/>
      <family val="0"/>
      <charset val="1"/>
    </font>
    <font>
      <sz val="11"/>
      <color rgb="FF0000FF"/>
      <name val="Arial"/>
      <family val="0"/>
      <charset val="1"/>
    </font>
    <font>
      <sz val="10"/>
      <color rgb="FF8E8A9D"/>
      <name val="DejaVu Sans"/>
      <family val="2"/>
    </font>
    <font>
      <sz val="10"/>
      <color rgb="FF8E8A9D"/>
      <name val="Arial"/>
      <family val="0"/>
      <charset val="1"/>
    </font>
    <font>
      <b val="true"/>
      <sz val="11"/>
      <color rgb="FFFF6B8A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6B8A"/>
        <bgColor rgb="FFFF99CC"/>
      </patternFill>
    </fill>
    <fill>
      <patternFill patternType="solid">
        <fgColor rgb="FFFFF0F3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FFD6E0"/>
      </left>
      <right style="thin">
        <color rgb="FFFFD6E0"/>
      </right>
      <top style="thin">
        <color rgb="FFFFD6E0"/>
      </top>
      <bottom style="thin">
        <color rgb="FFFFD6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0F3"/>
      <rgbColor rgb="FFCCFFFF"/>
      <rgbColor rgb="FF660066"/>
      <rgbColor rgb="FFFF6B8A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6E0"/>
      <rgbColor rgb="FF3366FF"/>
      <rgbColor rgb="FF33CCCC"/>
      <rgbColor rgb="FF99CC00"/>
      <rgbColor rgb="FFFFCC00"/>
      <rgbColor rgb="FFFF9900"/>
      <rgbColor rgb="FFFF6600"/>
      <rgbColor rgb="FF666699"/>
      <rgbColor rgb="FF8E8A9D"/>
      <rgbColor rgb="FF003366"/>
      <rgbColor rgb="FF339966"/>
      <rgbColor rgb="FF003300"/>
      <rgbColor rgb="FF333300"/>
      <rgbColor rgb="FF993300"/>
      <rgbColor rgb="FF993366"/>
      <rgbColor rgb="FF333399"/>
      <rgbColor rgb="FF2D2B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3" min="2" style="0" width="18"/>
    <col collapsed="false" customWidth="true" hidden="false" outlineLevel="0" max="4" min="4" style="0" width="22"/>
  </cols>
  <sheetData>
    <row r="1" customFormat="false" ht="34.5" hidden="false" customHeight="true" outlineLevel="0" collapsed="false">
      <c r="A1" s="1" t="s">
        <v>0</v>
      </c>
      <c r="B1" s="1"/>
      <c r="C1" s="1"/>
      <c r="D1" s="1"/>
    </row>
    <row r="3" customFormat="false" ht="27.75" hidden="false" customHeight="true" outlineLevel="0" collapsed="false">
      <c r="A3" s="2" t="s">
        <v>1</v>
      </c>
      <c r="B3" s="3" t="s">
        <v>2</v>
      </c>
      <c r="C3" s="3" t="s">
        <v>3</v>
      </c>
      <c r="D3" s="2" t="s">
        <v>4</v>
      </c>
    </row>
    <row r="4" customFormat="false" ht="15" hidden="false" customHeight="false" outlineLevel="0" collapsed="false">
      <c r="A4" s="4" t="s">
        <v>5</v>
      </c>
      <c r="B4" s="4"/>
      <c r="C4" s="4"/>
      <c r="D4" s="4"/>
    </row>
    <row r="5" customFormat="false" ht="15" hidden="false" customHeight="false" outlineLevel="0" collapsed="false">
      <c r="A5" s="5" t="s">
        <v>6</v>
      </c>
      <c r="B5" s="6" t="n">
        <v>500</v>
      </c>
      <c r="C5" s="6" t="n">
        <v>500</v>
      </c>
      <c r="D5" s="7" t="s">
        <v>7</v>
      </c>
    </row>
    <row r="6" customFormat="false" ht="15" hidden="false" customHeight="false" outlineLevel="0" collapsed="false">
      <c r="A6" s="5" t="s">
        <v>8</v>
      </c>
      <c r="B6" s="8" t="n">
        <v>0.4</v>
      </c>
      <c r="C6" s="8" t="n">
        <v>0.4</v>
      </c>
      <c r="D6" s="7" t="s">
        <v>9</v>
      </c>
    </row>
    <row r="7" customFormat="false" ht="15" hidden="false" customHeight="false" outlineLevel="0" collapsed="false">
      <c r="A7" s="5" t="s">
        <v>10</v>
      </c>
      <c r="B7" s="8" t="n">
        <v>0.08</v>
      </c>
      <c r="C7" s="8" t="n">
        <v>0.05</v>
      </c>
      <c r="D7" s="9" t="s">
        <v>11</v>
      </c>
    </row>
    <row r="8" customFormat="false" ht="15" hidden="false" customHeight="false" outlineLevel="0" collapsed="false">
      <c r="A8" s="5" t="s">
        <v>12</v>
      </c>
      <c r="B8" s="10" t="n">
        <v>2900</v>
      </c>
      <c r="C8" s="10" t="n">
        <v>3900</v>
      </c>
      <c r="D8" s="7"/>
    </row>
    <row r="10" customFormat="false" ht="15" hidden="false" customHeight="false" outlineLevel="0" collapsed="false">
      <c r="A10" s="4" t="s">
        <v>13</v>
      </c>
      <c r="B10" s="4"/>
      <c r="C10" s="4"/>
      <c r="D10" s="4"/>
    </row>
    <row r="11" customFormat="false" ht="15" hidden="false" customHeight="false" outlineLevel="0" collapsed="false">
      <c r="A11" s="5" t="s">
        <v>14</v>
      </c>
      <c r="B11" s="11" t="n">
        <f aca="false">B5*B6</f>
        <v>200</v>
      </c>
      <c r="C11" s="11" t="n">
        <f aca="false">C5*C6</f>
        <v>200</v>
      </c>
      <c r="D11" s="9" t="s">
        <v>15</v>
      </c>
    </row>
    <row r="12" customFormat="false" ht="15" hidden="false" customHeight="false" outlineLevel="0" collapsed="false">
      <c r="A12" s="5" t="s">
        <v>16</v>
      </c>
      <c r="B12" s="11" t="n">
        <f aca="false">B11*B7</f>
        <v>16</v>
      </c>
      <c r="C12" s="11" t="n">
        <f aca="false">C11*C7</f>
        <v>10</v>
      </c>
      <c r="D12" s="7" t="s">
        <v>17</v>
      </c>
    </row>
    <row r="13" customFormat="false" ht="15" hidden="false" customHeight="false" outlineLevel="0" collapsed="false">
      <c r="A13" s="5" t="s">
        <v>18</v>
      </c>
      <c r="B13" s="12" t="n">
        <f aca="false">B12*B8</f>
        <v>46400</v>
      </c>
      <c r="C13" s="12" t="n">
        <f aca="false">C12*C8</f>
        <v>39000</v>
      </c>
      <c r="D13" s="7" t="s">
        <v>19</v>
      </c>
    </row>
    <row r="15" customFormat="false" ht="14.9" hidden="false" customHeight="false" outlineLevel="0" collapsed="false">
      <c r="A15" s="4" t="s">
        <v>20</v>
      </c>
      <c r="B15" s="4"/>
      <c r="C15" s="4"/>
      <c r="D15" s="4"/>
    </row>
    <row r="16" customFormat="false" ht="15" hidden="false" customHeight="false" outlineLevel="0" collapsed="false">
      <c r="A16" s="5" t="s">
        <v>21</v>
      </c>
      <c r="B16" s="13" t="n">
        <f aca="false">B13*30</f>
        <v>1392000</v>
      </c>
      <c r="C16" s="13" t="n">
        <f aca="false">C13*30</f>
        <v>1170000</v>
      </c>
      <c r="D16" s="7" t="s">
        <v>22</v>
      </c>
    </row>
    <row r="17" customFormat="false" ht="15" hidden="false" customHeight="false" outlineLevel="0" collapsed="false">
      <c r="A17" s="5" t="s">
        <v>23</v>
      </c>
      <c r="B17" s="12" t="n">
        <f aca="false">B16/10000</f>
        <v>139.2</v>
      </c>
      <c r="C17" s="12" t="n">
        <f aca="false">C16/10000</f>
        <v>117</v>
      </c>
      <c r="D17" s="7"/>
    </row>
    <row r="18" customFormat="false" ht="15" hidden="false" customHeight="false" outlineLevel="0" collapsed="false">
      <c r="A18" s="5" t="s">
        <v>24</v>
      </c>
      <c r="B18" s="13" t="n">
        <f aca="false">B13*365</f>
        <v>16936000</v>
      </c>
      <c r="C18" s="13" t="n">
        <f aca="false">C13*365</f>
        <v>14235000</v>
      </c>
      <c r="D18" s="7" t="s">
        <v>25</v>
      </c>
    </row>
    <row r="19" customFormat="false" ht="15" hidden="false" customHeight="false" outlineLevel="0" collapsed="false">
      <c r="A19" s="5" t="s">
        <v>26</v>
      </c>
      <c r="B19" s="12" t="n">
        <f aca="false">B18/10000</f>
        <v>1693.6</v>
      </c>
      <c r="C19" s="12" t="n">
        <f aca="false">C18/10000</f>
        <v>1423.5</v>
      </c>
      <c r="D19" s="7"/>
    </row>
    <row r="20" customFormat="false" ht="15" hidden="false" customHeight="false" outlineLevel="0" collapsed="false">
      <c r="A20" s="5" t="s">
        <v>27</v>
      </c>
      <c r="B20" s="12"/>
      <c r="C20" s="12" t="n">
        <f aca="false">C19-B19</f>
        <v>-270.1</v>
      </c>
      <c r="D20" s="9" t="s">
        <v>28</v>
      </c>
    </row>
    <row r="22" customFormat="false" ht="15" hidden="false" customHeight="false" outlineLevel="0" collapsed="false">
      <c r="A22" s="4" t="s">
        <v>29</v>
      </c>
      <c r="B22" s="4"/>
      <c r="C22" s="4"/>
      <c r="D22" s="4"/>
    </row>
    <row r="23" customFormat="false" ht="24.75" hidden="false" customHeight="true" outlineLevel="0" collapsed="false">
      <c r="A23" s="14" t="s">
        <v>30</v>
      </c>
      <c r="B23" s="14"/>
      <c r="C23" s="14"/>
      <c r="D23" s="14"/>
    </row>
    <row r="24" customFormat="false" ht="24.75" hidden="false" customHeight="true" outlineLevel="0" collapsed="false">
      <c r="A24" s="14"/>
      <c r="B24" s="14"/>
      <c r="C24" s="14"/>
      <c r="D24" s="14"/>
    </row>
  </sheetData>
  <mergeCells count="6">
    <mergeCell ref="A1:D1"/>
    <mergeCell ref="A4:D4"/>
    <mergeCell ref="A10:D10"/>
    <mergeCell ref="A15:D15"/>
    <mergeCell ref="A22:D22"/>
    <mergeCell ref="A23:D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2026-04-15T08:10:30Z</dcterms:created>
  <dc:creator>openpyxl</dc:creator>
  <dc:description/>
  <dc:language>en-US</dc:language>
  <cp:lastModifiedBy/>
  <dcterms:modified xsi:type="dcterms:W3CDTF">2026-04-15T08:10:30Z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